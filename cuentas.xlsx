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lchy\"/>
    </mc:Choice>
  </mc:AlternateContent>
  <xr:revisionPtr revIDLastSave="0" documentId="8_{DDE56143-CF6B-49CE-B584-0E88A1DA2140}" xr6:coauthVersionLast="47" xr6:coauthVersionMax="47" xr10:uidLastSave="{00000000-0000-0000-0000-000000000000}"/>
  <bookViews>
    <workbookView xWindow="75" yWindow="0" windowWidth="11640" windowHeight="10275" xr2:uid="{AF91563D-30CD-4C34-8B4E-1AF2DBFE36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15" i="1"/>
  <c r="B14" i="1"/>
  <c r="B13" i="1"/>
  <c r="B8" i="1"/>
  <c r="B7" i="1"/>
  <c r="E3" i="1"/>
  <c r="E4" i="1"/>
  <c r="B22" i="1" s="1"/>
  <c r="E2" i="1"/>
  <c r="B20" i="1" l="1"/>
  <c r="B21" i="1"/>
</calcChain>
</file>

<file path=xl/sharedStrings.xml><?xml version="1.0" encoding="utf-8"?>
<sst xmlns="http://schemas.openxmlformats.org/spreadsheetml/2006/main" count="21" uniqueCount="15">
  <si>
    <t>valores historicos</t>
  </si>
  <si>
    <t>Banco Provincia</t>
  </si>
  <si>
    <t>Banco Nacion</t>
  </si>
  <si>
    <t>Banco Hipotecario</t>
  </si>
  <si>
    <t>1er año</t>
  </si>
  <si>
    <t>2do año</t>
  </si>
  <si>
    <t>3er año</t>
  </si>
  <si>
    <t>Capital</t>
  </si>
  <si>
    <t>Calculo anual</t>
  </si>
  <si>
    <t>Calculo Trimestral</t>
  </si>
  <si>
    <t>Calculo mensual</t>
  </si>
  <si>
    <t>Promedio</t>
  </si>
  <si>
    <t>Provincia</t>
  </si>
  <si>
    <t>Nacion</t>
  </si>
  <si>
    <t>Hipotecario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</si>
</sst>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5F4C-8F0A-45F5-A6D1-2F6F3B8069E1}">
  <dimension ref="A1:G22"/>
  <sheetViews>
    <sheetView tabSelected="1" workbookViewId="0">
      <selection activeCell="E6" sqref="E6:E14"/>
    </sheetView>
  </sheetViews>
  <sheetFormatPr baseColWidth="10" defaultRowHeight="15" x14ac:dyDescent="0.25"/>
  <cols>
    <col min="1" max="1" width="16.5703125" bestFit="1" customWidth="1"/>
    <col min="2" max="2" width="26.140625" customWidth="1"/>
    <col min="7" max="7" width="13" bestFit="1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11</v>
      </c>
    </row>
    <row r="2" spans="1:7" x14ac:dyDescent="0.25">
      <c r="A2" t="s">
        <v>1</v>
      </c>
      <c r="B2">
        <v>110</v>
      </c>
      <c r="C2">
        <v>50</v>
      </c>
      <c r="D2">
        <v>27</v>
      </c>
      <c r="E2">
        <f>AVERAGE(B2:D2)</f>
        <v>62.333333333333336</v>
      </c>
      <c r="G2" t="s">
        <v>7</v>
      </c>
    </row>
    <row r="3" spans="1:7" x14ac:dyDescent="0.25">
      <c r="A3" t="s">
        <v>2</v>
      </c>
      <c r="B3">
        <v>123</v>
      </c>
      <c r="C3">
        <v>47</v>
      </c>
      <c r="D3">
        <v>33</v>
      </c>
      <c r="E3">
        <f t="shared" ref="E3:E4" si="0">AVERAGE(B3:D3)</f>
        <v>67.666666666666671</v>
      </c>
      <c r="G3" s="1">
        <v>850000</v>
      </c>
    </row>
    <row r="4" spans="1:7" x14ac:dyDescent="0.25">
      <c r="A4" t="s">
        <v>3</v>
      </c>
      <c r="B4">
        <v>122</v>
      </c>
      <c r="C4">
        <v>44</v>
      </c>
      <c r="D4">
        <v>31.5</v>
      </c>
      <c r="E4">
        <f t="shared" si="0"/>
        <v>65.833333333333329</v>
      </c>
    </row>
    <row r="6" spans="1:7" x14ac:dyDescent="0.25">
      <c r="A6" t="s">
        <v>12</v>
      </c>
      <c r="E6">
        <v>110</v>
      </c>
    </row>
    <row r="7" spans="1:7" x14ac:dyDescent="0.25">
      <c r="A7" t="s">
        <v>8</v>
      </c>
      <c r="B7" s="1">
        <f>G3*(E2/100)</f>
        <v>529833.33333333337</v>
      </c>
      <c r="E7">
        <v>50</v>
      </c>
    </row>
    <row r="8" spans="1:7" x14ac:dyDescent="0.25">
      <c r="A8" t="s">
        <v>9</v>
      </c>
      <c r="B8" s="1">
        <f>G3*(1 + E2/100)^(1/4) ^ 4</f>
        <v>1379833.333333334</v>
      </c>
      <c r="E8">
        <v>27</v>
      </c>
    </row>
    <row r="9" spans="1:7" x14ac:dyDescent="0.25">
      <c r="A9" t="s">
        <v>10</v>
      </c>
      <c r="B9" s="1">
        <f>G3*(1 + E2/100)^(1/12) ^ 12</f>
        <v>1379833.333333333</v>
      </c>
      <c r="E9">
        <v>123</v>
      </c>
    </row>
    <row r="10" spans="1:7" x14ac:dyDescent="0.25">
      <c r="E10">
        <v>47</v>
      </c>
    </row>
    <row r="11" spans="1:7" x14ac:dyDescent="0.25">
      <c r="E11">
        <v>33</v>
      </c>
    </row>
    <row r="12" spans="1:7" x14ac:dyDescent="0.25">
      <c r="A12" t="s">
        <v>13</v>
      </c>
      <c r="E12">
        <v>122</v>
      </c>
    </row>
    <row r="13" spans="1:7" x14ac:dyDescent="0.25">
      <c r="A13" t="s">
        <v>8</v>
      </c>
      <c r="B13" s="1">
        <f>G3*(E3/100)</f>
        <v>575166.66666666674</v>
      </c>
      <c r="E13">
        <v>44</v>
      </c>
    </row>
    <row r="14" spans="1:7" x14ac:dyDescent="0.25">
      <c r="A14" t="s">
        <v>9</v>
      </c>
      <c r="B14" s="1">
        <f>G3*(1 + E3/100)^(1/4) ^ 4</f>
        <v>1425166.6666666672</v>
      </c>
      <c r="E14">
        <v>31.5</v>
      </c>
    </row>
    <row r="15" spans="1:7" x14ac:dyDescent="0.25">
      <c r="A15" t="s">
        <v>10</v>
      </c>
      <c r="B15" s="1">
        <f>G3*(1 + E3/100)^(1/12) ^ 12</f>
        <v>1425166.6666666651</v>
      </c>
    </row>
    <row r="19" spans="1:2" x14ac:dyDescent="0.25">
      <c r="A19" t="s">
        <v>14</v>
      </c>
    </row>
    <row r="20" spans="1:2" x14ac:dyDescent="0.25">
      <c r="A20" t="s">
        <v>8</v>
      </c>
      <c r="B20" s="1">
        <f>G3*(E4/100)</f>
        <v>559583.33333333337</v>
      </c>
    </row>
    <row r="21" spans="1:2" x14ac:dyDescent="0.25">
      <c r="A21" t="s">
        <v>9</v>
      </c>
      <c r="B21" s="1">
        <f>G3*(1 + E4/100)^(1/4) ^ 4</f>
        <v>1409583.333333333</v>
      </c>
    </row>
    <row r="22" spans="1:2" x14ac:dyDescent="0.25">
      <c r="A22" t="s">
        <v>10</v>
      </c>
      <c r="B22" s="1">
        <f>G3*(1 + E4/100)^(1/12) ^ 12</f>
        <v>1409583.3333333326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Gimenez Leandro Sebastian</dc:creator>
  <cp:lastModifiedBy>Correa Gimenez Leandro Sebastian</cp:lastModifiedBy>
  <dcterms:created xsi:type="dcterms:W3CDTF">2025-11-05T22:38:11Z</dcterms:created>
  <dcterms:modified xsi:type="dcterms:W3CDTF">2025-11-06T03:34:30Z</dcterms:modified>
</cp:coreProperties>
</file>